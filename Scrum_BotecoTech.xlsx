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911bb0f19f15d6/Área de Trabalho/IFSP - BRA/"/>
    </mc:Choice>
  </mc:AlternateContent>
  <xr:revisionPtr revIDLastSave="489" documentId="8_{91FF889B-254E-449F-98BF-64DB039D20B5}" xr6:coauthVersionLast="47" xr6:coauthVersionMax="47" xr10:uidLastSave="{0E03451B-B5F9-40CC-992D-C56F68180583}"/>
  <bookViews>
    <workbookView xWindow="28680" yWindow="-120" windowWidth="29040" windowHeight="15720" activeTab="1" xr2:uid="{00000000-000D-0000-FFFF-FFFF00000000}"/>
  </bookViews>
  <sheets>
    <sheet name="Product Backlog" sheetId="1" r:id="rId1"/>
    <sheet name="Sprint Backlog" sheetId="5" r:id="rId2"/>
    <sheet name="BurndownChart Geral" sheetId="6" state="hidden" r:id="rId3"/>
    <sheet name="parametro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5" l="1"/>
  <c r="K7" i="5"/>
  <c r="K8" i="5"/>
  <c r="K9" i="5"/>
  <c r="K10" i="5"/>
  <c r="K11" i="5"/>
  <c r="K12" i="5"/>
  <c r="K13" i="5"/>
  <c r="K14" i="5"/>
  <c r="K4" i="5"/>
  <c r="M1" i="5"/>
  <c r="L9" i="5"/>
  <c r="F7" i="5"/>
  <c r="N8" i="5" s="1"/>
  <c r="F8" i="5"/>
  <c r="N9" i="5" s="1"/>
  <c r="F9" i="5"/>
  <c r="N10" i="5" s="1"/>
  <c r="F10" i="5"/>
  <c r="N11" i="5" s="1"/>
  <c r="F14" i="5"/>
  <c r="N15" i="5" s="1"/>
  <c r="F15" i="5"/>
  <c r="F13" i="5"/>
  <c r="N14" i="5" s="1"/>
  <c r="F12" i="5"/>
  <c r="N13" i="5" s="1"/>
  <c r="F11" i="5"/>
  <c r="N12" i="5" s="1"/>
  <c r="F6" i="5"/>
  <c r="N7" i="5" s="1"/>
  <c r="F5" i="5"/>
  <c r="N6" i="5" s="1"/>
  <c r="F4" i="5"/>
  <c r="C7" i="5"/>
  <c r="L8" i="5" s="1"/>
  <c r="C5" i="5"/>
  <c r="L6" i="5" s="1"/>
  <c r="C4" i="5"/>
  <c r="L5" i="5" s="1"/>
  <c r="C6" i="5"/>
  <c r="L7" i="5" s="1"/>
  <c r="O1" i="5" l="1"/>
  <c r="M5" i="5" s="1"/>
  <c r="N5" i="5"/>
  <c r="O4" i="5" s="1"/>
  <c r="D2" i="6"/>
  <c r="F2" i="6"/>
  <c r="F3" i="6" s="1"/>
  <c r="F4" i="6" s="1"/>
  <c r="F5" i="6" s="1"/>
  <c r="F6" i="6" s="1"/>
  <c r="F7" i="6" s="1"/>
  <c r="F8" i="6" s="1"/>
  <c r="F9" i="6" s="1"/>
  <c r="F10" i="6" s="1"/>
  <c r="F11" i="6" s="1"/>
  <c r="F12" i="6" s="1"/>
  <c r="E2" i="6"/>
  <c r="E3" i="6" s="1"/>
  <c r="E4" i="6" s="1"/>
  <c r="E5" i="6" s="1"/>
  <c r="E6" i="6" s="1"/>
  <c r="E7" i="6" s="1"/>
  <c r="E8" i="6" s="1"/>
  <c r="E9" i="6" s="1"/>
  <c r="E10" i="6" s="1"/>
  <c r="E11" i="6" s="1"/>
  <c r="E12" i="6" s="1"/>
  <c r="B5" i="5" l="1"/>
  <c r="B6" i="5"/>
  <c r="B7" i="5"/>
  <c r="B8" i="5"/>
  <c r="B9" i="5"/>
  <c r="C9" i="5"/>
  <c r="L10" i="5" s="1"/>
  <c r="B10" i="5"/>
  <c r="C10" i="5"/>
  <c r="L11" i="5" s="1"/>
  <c r="B11" i="5"/>
  <c r="C11" i="5"/>
  <c r="L12" i="5" s="1"/>
  <c r="B12" i="5"/>
  <c r="C12" i="5"/>
  <c r="L13" i="5" s="1"/>
  <c r="B13" i="5"/>
  <c r="C13" i="5"/>
  <c r="L14" i="5" s="1"/>
  <c r="B14" i="5"/>
  <c r="C14" i="5"/>
  <c r="L15" i="5" s="1"/>
  <c r="B15" i="5"/>
  <c r="C15" i="5"/>
  <c r="M4" i="5" l="1"/>
  <c r="B4" i="5"/>
  <c r="O5" i="5" l="1"/>
  <c r="O6" i="5" s="1"/>
  <c r="O7" i="5" l="1"/>
  <c r="O8" i="5" s="1"/>
  <c r="O9" i="5" s="1"/>
  <c r="O10" i="5" s="1"/>
  <c r="O11" i="5" s="1"/>
  <c r="O12" i="5" s="1"/>
  <c r="O13" i="5" s="1"/>
  <c r="O14" i="5" s="1"/>
  <c r="O15" i="5" s="1"/>
  <c r="M6" i="5"/>
  <c r="M7" i="5" s="1"/>
  <c r="M8" i="5" l="1"/>
  <c r="M9" i="5" s="1"/>
  <c r="M10" i="5" s="1"/>
  <c r="M11" i="5" s="1"/>
  <c r="M12" i="5" s="1"/>
  <c r="M13" i="5" s="1"/>
  <c r="M14" i="5" s="1"/>
  <c r="M15" i="5" s="1"/>
</calcChain>
</file>

<file path=xl/sharedStrings.xml><?xml version="1.0" encoding="utf-8"?>
<sst xmlns="http://schemas.openxmlformats.org/spreadsheetml/2006/main" count="172" uniqueCount="87">
  <si>
    <t>Id</t>
  </si>
  <si>
    <t>Titulo</t>
  </si>
  <si>
    <t>Descrição</t>
  </si>
  <si>
    <t>Categoria</t>
  </si>
  <si>
    <t>Prioridade</t>
  </si>
  <si>
    <t>Sprint</t>
  </si>
  <si>
    <t>Horas Estimadas</t>
  </si>
  <si>
    <t>Status</t>
  </si>
  <si>
    <t>Indicador</t>
  </si>
  <si>
    <t>Comentários</t>
  </si>
  <si>
    <t>Grau</t>
  </si>
  <si>
    <t>Classificação</t>
  </si>
  <si>
    <t>Cadastro de Comandas</t>
  </si>
  <si>
    <t>Permite criar e gerenciar comandas individuais para clientes, vinculadas a um número identificador único.</t>
  </si>
  <si>
    <t>Funcional</t>
  </si>
  <si>
    <t>Alta</t>
  </si>
  <si>
    <t>Concluído</t>
  </si>
  <si>
    <t>Verde</t>
  </si>
  <si>
    <t>Base essencial para controle de pedidos.</t>
  </si>
  <si>
    <t>Registro de Pedidos</t>
  </si>
  <si>
    <t>Permite registrar itens solicitados por clientes em comandas específicas, detalhando quantidade, descrição e valores dos produtos.</t>
  </si>
  <si>
    <t>Integra diretamente com as comandas.</t>
  </si>
  <si>
    <t>Controle de Pagamento</t>
  </si>
  <si>
    <t>Centraliza o pagamento das comandas no caixa, registrando métodos de pagamento (dinheiro, cartão) e oferecendo cálculo do total devido.</t>
  </si>
  <si>
    <t>Média</t>
  </si>
  <si>
    <t>Em andamento</t>
  </si>
  <si>
    <t>Amarelo</t>
  </si>
  <si>
    <t>Fundamental para a saída controlada do cliente.</t>
  </si>
  <si>
    <t>Controle de Saída</t>
  </si>
  <si>
    <t>Permite que o porteiro consulte o pagamento das comandas antes de liberar a saída do cliente, garantindo a integridade do processo de pagamento.</t>
  </si>
  <si>
    <t>Relacionado diretamente ao fechamento de contas.</t>
  </si>
  <si>
    <t>Cálculo da Consumação Mínima</t>
  </si>
  <si>
    <t>Automatiza o cálculo e a verificação do cumprimento da consumação mínima exigida, incluindo o valor pendente na conta quando necessário.</t>
  </si>
  <si>
    <t>Vermelho</t>
  </si>
  <si>
    <t>Regra de negócio essencial para o boteco.</t>
  </si>
  <si>
    <t>Cadastro de Produtos</t>
  </si>
  <si>
    <t>Permite registrar e atualizar os produtos disponíveis no cardápio, incluindo nome, preço e categoria (bebidas, petiscos, etc.).</t>
  </si>
  <si>
    <t>Base de dados para pedidos e estoque.</t>
  </si>
  <si>
    <t>Controle de Estoque</t>
  </si>
  <si>
    <t>Reduz automaticamente o estoque conforme os pedidos são realizados e emite alertas para reposição quando o nível mínimo for atingido.</t>
  </si>
  <si>
    <t>Controle para evitar rupturas no serviço.</t>
  </si>
  <si>
    <t>Relatórios de Vendas</t>
  </si>
  <si>
    <t>Gera relatórios diários, semanais e mensais sobre o volume de vendas, itens mais vendidos e faturamento total.</t>
  </si>
  <si>
    <t>Negócio</t>
  </si>
  <si>
    <t>Auxilia na análise de desempenho financeiro.</t>
  </si>
  <si>
    <t>Gerenciamento de Acesso</t>
  </si>
  <si>
    <t>Implementa sistema de login com permissões baseadas em perfil (garçom, caixa, gerente e administrador), garantindo segurança no uso do sistema.</t>
  </si>
  <si>
    <t>Controle de acesso diferenciado por função.</t>
  </si>
  <si>
    <t>Relatório de Consumação</t>
  </si>
  <si>
    <t>Gera um relatório consolidado das comandas que não atingiram a consumação mínima e exibe o valor adicional incluído nos</t>
  </si>
  <si>
    <t>Facilitador para controle de regras internas.</t>
  </si>
  <si>
    <t>Dashboard de Gestão</t>
  </si>
  <si>
    <t>Tela principal com indicadores visuais para acompanhar comandas abertas, volume de vendas em tempo real e situação do estoque.</t>
  </si>
  <si>
    <t>Recurso para tomada de decisões rápidas.</t>
  </si>
  <si>
    <t>Fechamento Diário</t>
  </si>
  <si>
    <t>Facilita o fechamento do caixa ao final do dia, consolidando as informações de vendas, pagamentos e estoque.</t>
  </si>
  <si>
    <t>Relacionado aos relatórios e ao controle do caixa</t>
  </si>
  <si>
    <t>C</t>
  </si>
  <si>
    <t>Período do Sprint</t>
  </si>
  <si>
    <t>a</t>
  </si>
  <si>
    <t>Referência</t>
  </si>
  <si>
    <t>Horas Sprint</t>
  </si>
  <si>
    <t>Início</t>
  </si>
  <si>
    <t>Fim</t>
  </si>
  <si>
    <t>Horas Efetivas</t>
  </si>
  <si>
    <t>Planejado</t>
  </si>
  <si>
    <t>Realizado</t>
  </si>
  <si>
    <t>Horas</t>
  </si>
  <si>
    <t>Restante</t>
  </si>
  <si>
    <t>Dif</t>
  </si>
  <si>
    <t>Total</t>
  </si>
  <si>
    <t xml:space="preserve"> </t>
  </si>
  <si>
    <t>Efetivo</t>
  </si>
  <si>
    <t>Produtividade</t>
  </si>
  <si>
    <t>Requisitos</t>
  </si>
  <si>
    <t>Baixa</t>
  </si>
  <si>
    <t>8 a 10</t>
  </si>
  <si>
    <t>Criado</t>
  </si>
  <si>
    <t>Especificação</t>
  </si>
  <si>
    <t>4 a 7</t>
  </si>
  <si>
    <t>Planejamento</t>
  </si>
  <si>
    <t>0 e 3</t>
  </si>
  <si>
    <t>Cancelado</t>
  </si>
  <si>
    <t>Software</t>
  </si>
  <si>
    <t>Suspenso</t>
  </si>
  <si>
    <t>Recursos</t>
  </si>
  <si>
    <t>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</si>
</sst>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Wingdings"/>
      <charset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12" xfId="0" applyFont="1" applyBorder="1"/>
    <xf numFmtId="14" fontId="0" fillId="4" borderId="13" xfId="0" applyNumberFormat="1" applyFill="1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14" fontId="0" fillId="3" borderId="3" xfId="0" applyNumberFormat="1" applyFill="1" applyBorder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4" fillId="0" borderId="19" xfId="0" applyFont="1" applyBorder="1" applyAlignment="1">
      <alignment vertical="center"/>
    </xf>
    <xf numFmtId="14" fontId="0" fillId="4" borderId="20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4" fillId="0" borderId="0" xfId="0" applyFont="1"/>
    <xf numFmtId="14" fontId="6" fillId="0" borderId="0" xfId="0" applyNumberFormat="1" applyFon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08969978172177"/>
          <c:y val="1.7349025401675537E-2"/>
          <c:w val="0.76148794898460626"/>
          <c:h val="0.89721628080072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'Sprint Backlog'!$L$2:$M$2</c:f>
              <c:strCache>
                <c:ptCount val="1"/>
                <c:pt idx="0">
                  <c:v>Planejado</c:v>
                </c:pt>
              </c:strCache>
            </c:strRef>
          </c:tx>
          <c:xVal>
            <c:numRef>
              <c:f>'Sprint Backlog'!$J$4:$J$15</c:f>
              <c:numCache>
                <c:formatCode>m/d/yyyy</c:formatCode>
                <c:ptCount val="12"/>
                <c:pt idx="0">
                  <c:v>45627</c:v>
                </c:pt>
                <c:pt idx="1">
                  <c:v>45636</c:v>
                </c:pt>
                <c:pt idx="2">
                  <c:v>45646</c:v>
                </c:pt>
                <c:pt idx="3">
                  <c:v>45656</c:v>
                </c:pt>
                <c:pt idx="4">
                  <c:v>45667</c:v>
                </c:pt>
                <c:pt idx="5">
                  <c:v>45677</c:v>
                </c:pt>
                <c:pt idx="6">
                  <c:v>45687</c:v>
                </c:pt>
                <c:pt idx="7">
                  <c:v>45698</c:v>
                </c:pt>
                <c:pt idx="8">
                  <c:v>45708</c:v>
                </c:pt>
                <c:pt idx="9">
                  <c:v>45717</c:v>
                </c:pt>
              </c:numCache>
            </c:numRef>
          </c:xVal>
          <c:yVal>
            <c:numRef>
              <c:f>'Sprint Backlog'!$M$4:$M$15</c:f>
              <c:numCache>
                <c:formatCode>General</c:formatCode>
                <c:ptCount val="12"/>
                <c:pt idx="0">
                  <c:v>856</c:v>
                </c:pt>
                <c:pt idx="1">
                  <c:v>736</c:v>
                </c:pt>
                <c:pt idx="2">
                  <c:v>656</c:v>
                </c:pt>
                <c:pt idx="3">
                  <c:v>568</c:v>
                </c:pt>
                <c:pt idx="4">
                  <c:v>496</c:v>
                </c:pt>
                <c:pt idx="5">
                  <c:v>368</c:v>
                </c:pt>
                <c:pt idx="6">
                  <c:v>272</c:v>
                </c:pt>
                <c:pt idx="7">
                  <c:v>208</c:v>
                </c:pt>
                <c:pt idx="8">
                  <c:v>120</c:v>
                </c:pt>
                <c:pt idx="9">
                  <c:v>56</c:v>
                </c:pt>
                <c:pt idx="10">
                  <c:v>-16</c:v>
                </c:pt>
                <c:pt idx="11">
                  <c:v>-56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D-4146-A488-0DE5C48EAE65}"/>
            </c:ext>
          </c:extLst>
        </c:ser>
        <c:ser>
          <c:idx val="1"/>
          <c:order val="1"/>
          <c:tx>
            <c:strRef>
              <c:f>'Sprint Backlog'!$N$2:$O$2</c:f>
              <c:strCache>
                <c:ptCount val="1"/>
                <c:pt idx="0">
                  <c:v>Realizado</c:v>
                </c:pt>
              </c:strCache>
            </c:strRef>
          </c:tx>
          <c:xVal>
            <c:numRef>
              <c:f>'Sprint Backlog'!$J$4:$J$15</c:f>
              <c:numCache>
                <c:formatCode>m/d/yyyy</c:formatCode>
                <c:ptCount val="12"/>
                <c:pt idx="0">
                  <c:v>45627</c:v>
                </c:pt>
                <c:pt idx="1">
                  <c:v>45636</c:v>
                </c:pt>
                <c:pt idx="2">
                  <c:v>45646</c:v>
                </c:pt>
                <c:pt idx="3">
                  <c:v>45656</c:v>
                </c:pt>
                <c:pt idx="4">
                  <c:v>45667</c:v>
                </c:pt>
                <c:pt idx="5">
                  <c:v>45677</c:v>
                </c:pt>
                <c:pt idx="6">
                  <c:v>45687</c:v>
                </c:pt>
                <c:pt idx="7">
                  <c:v>45698</c:v>
                </c:pt>
                <c:pt idx="8">
                  <c:v>45708</c:v>
                </c:pt>
                <c:pt idx="9">
                  <c:v>45717</c:v>
                </c:pt>
              </c:numCache>
            </c:numRef>
          </c:xVal>
          <c:yVal>
            <c:numRef>
              <c:f>'Sprint Backlog'!$O$4:$O$15</c:f>
              <c:numCache>
                <c:formatCode>General</c:formatCode>
                <c:ptCount val="12"/>
                <c:pt idx="0">
                  <c:v>768</c:v>
                </c:pt>
                <c:pt idx="1">
                  <c:v>760</c:v>
                </c:pt>
                <c:pt idx="2">
                  <c:v>728</c:v>
                </c:pt>
                <c:pt idx="3">
                  <c:v>648</c:v>
                </c:pt>
                <c:pt idx="4">
                  <c:v>576</c:v>
                </c:pt>
                <c:pt idx="5">
                  <c:v>432</c:v>
                </c:pt>
                <c:pt idx="6">
                  <c:v>352</c:v>
                </c:pt>
                <c:pt idx="7">
                  <c:v>288</c:v>
                </c:pt>
                <c:pt idx="8">
                  <c:v>208</c:v>
                </c:pt>
                <c:pt idx="9">
                  <c:v>152</c:v>
                </c:pt>
                <c:pt idx="10">
                  <c:v>64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ED-4146-A488-0DE5C48EA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0880"/>
        <c:axId val="50252416"/>
      </c:scatterChart>
      <c:valAx>
        <c:axId val="50250880"/>
        <c:scaling>
          <c:orientation val="minMax"/>
        </c:scaling>
        <c:delete val="0"/>
        <c:axPos val="b"/>
        <c:numFmt formatCode="[$-416]d\-mmm;@" sourceLinked="0"/>
        <c:majorTickMark val="out"/>
        <c:minorTickMark val="none"/>
        <c:tickLblPos val="nextTo"/>
        <c:crossAx val="50252416"/>
        <c:crosses val="autoZero"/>
        <c:crossBetween val="midCat"/>
        <c:majorUnit val="7"/>
        <c:minorUnit val="0.5"/>
      </c:valAx>
      <c:valAx>
        <c:axId val="502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250880"/>
        <c:crosses val="autoZero"/>
        <c:crossBetween val="midCat"/>
      </c:valAx>
    </c:plotArea>
    <c:legend>
      <c:legendPos val="r"/>
      <c:overlay val="0"/>
    </c:legend>
    <c:plotVisOnly val="1"/>
    <c:dispBlanksAs val="span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'BurndownChart Geral'!$E$1</c:f>
              <c:strCache>
                <c:ptCount val="1"/>
                <c:pt idx="0">
                  <c:v>Planejado</c:v>
                </c:pt>
              </c:strCache>
            </c:strRef>
          </c:tx>
          <c:xVal>
            <c:numRef>
              <c:f>'BurndownChart Geral'!$B$2:$B$12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'BurndownChart Geral'!$E$2:$E$12</c:f>
              <c:numCache>
                <c:formatCode>General</c:formatCode>
                <c:ptCount val="11"/>
                <c:pt idx="0">
                  <c:v>120</c:v>
                </c:pt>
                <c:pt idx="1">
                  <c:v>108</c:v>
                </c:pt>
                <c:pt idx="2">
                  <c:v>76</c:v>
                </c:pt>
                <c:pt idx="3">
                  <c:v>60</c:v>
                </c:pt>
                <c:pt idx="4">
                  <c:v>52</c:v>
                </c:pt>
                <c:pt idx="5">
                  <c:v>48</c:v>
                </c:pt>
                <c:pt idx="6">
                  <c:v>32</c:v>
                </c:pt>
                <c:pt idx="7">
                  <c:v>24</c:v>
                </c:pt>
                <c:pt idx="8">
                  <c:v>16</c:v>
                </c:pt>
                <c:pt idx="9">
                  <c:v>8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5-4512-8550-2BFFF6D82151}"/>
            </c:ext>
          </c:extLst>
        </c:ser>
        <c:ser>
          <c:idx val="1"/>
          <c:order val="1"/>
          <c:tx>
            <c:strRef>
              <c:f>'BurndownChart Geral'!$F$1</c:f>
              <c:strCache>
                <c:ptCount val="1"/>
                <c:pt idx="0">
                  <c:v>Efetivo</c:v>
                </c:pt>
              </c:strCache>
            </c:strRef>
          </c:tx>
          <c:xVal>
            <c:numRef>
              <c:f>'BurndownChart Geral'!$B$2:$B$12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'BurndownChart Geral'!$F$2:$F$12</c:f>
              <c:numCache>
                <c:formatCode>General</c:formatCode>
                <c:ptCount val="11"/>
                <c:pt idx="0">
                  <c:v>120</c:v>
                </c:pt>
                <c:pt idx="1">
                  <c:v>112</c:v>
                </c:pt>
                <c:pt idx="2">
                  <c:v>80</c:v>
                </c:pt>
                <c:pt idx="3">
                  <c:v>76</c:v>
                </c:pt>
                <c:pt idx="4">
                  <c:v>76</c:v>
                </c:pt>
                <c:pt idx="5">
                  <c:v>52</c:v>
                </c:pt>
                <c:pt idx="6">
                  <c:v>48</c:v>
                </c:pt>
                <c:pt idx="7">
                  <c:v>44</c:v>
                </c:pt>
                <c:pt idx="8">
                  <c:v>36</c:v>
                </c:pt>
                <c:pt idx="9">
                  <c:v>36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F5-4512-8550-2BFFF6D82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44800"/>
        <c:axId val="94463104"/>
      </c:scatterChart>
      <c:valAx>
        <c:axId val="9324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4463104"/>
        <c:crosses val="autoZero"/>
        <c:crossBetween val="midCat"/>
        <c:majorUnit val="1"/>
        <c:minorUnit val="0.5"/>
      </c:valAx>
      <c:valAx>
        <c:axId val="94463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24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18</xdr:row>
      <xdr:rowOff>152400</xdr:rowOff>
    </xdr:from>
    <xdr:to>
      <xdr:col>15</xdr:col>
      <xdr:colOff>104775</xdr:colOff>
      <xdr:row>35</xdr:row>
      <xdr:rowOff>91440</xdr:rowOff>
    </xdr:to>
    <xdr:graphicFrame macro="">
      <xdr:nvGraphicFramePr>
        <xdr:cNvPr id="54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552449</xdr:colOff>
      <xdr:row>0</xdr:row>
      <xdr:rowOff>57149</xdr:rowOff>
    </xdr:from>
    <xdr:to>
      <xdr:col>17</xdr:col>
      <xdr:colOff>409574</xdr:colOff>
      <xdr:row>23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Normal="100" workbookViewId="0">
      <selection activeCell="N6" sqref="N6"/>
    </sheetView>
  </sheetViews>
  <sheetFormatPr defaultColWidth="8.88671875" defaultRowHeight="14.4" x14ac:dyDescent="0.3"/>
  <cols>
    <col min="1" max="1" width="6.44140625" style="41" customWidth="1"/>
    <col min="2" max="2" width="21.109375" style="47" customWidth="1"/>
    <col min="3" max="3" width="41.33203125" style="37" customWidth="1"/>
    <col min="4" max="4" width="12.6640625" style="41" bestFit="1" customWidth="1"/>
    <col min="5" max="5" width="7" style="41" customWidth="1"/>
    <col min="6" max="6" width="12.109375" style="41" bestFit="1" customWidth="1"/>
    <col min="7" max="7" width="8.88671875" style="41"/>
    <col min="8" max="8" width="10.5546875" style="41" customWidth="1"/>
    <col min="9" max="9" width="14.33203125" style="39" customWidth="1"/>
    <col min="10" max="10" width="9.88671875" style="41" bestFit="1" customWidth="1"/>
    <col min="11" max="11" width="35.33203125" style="47" customWidth="1"/>
    <col min="12" max="16384" width="8.88671875" style="39"/>
  </cols>
  <sheetData>
    <row r="1" spans="1:11" x14ac:dyDescent="0.3">
      <c r="A1" s="51" t="s">
        <v>0</v>
      </c>
      <c r="B1" s="52" t="s">
        <v>1</v>
      </c>
      <c r="C1" s="53" t="s">
        <v>2</v>
      </c>
      <c r="D1" s="51" t="s">
        <v>3</v>
      </c>
      <c r="E1" s="51" t="s">
        <v>4</v>
      </c>
      <c r="F1" s="51"/>
      <c r="G1" s="51" t="s">
        <v>5</v>
      </c>
      <c r="H1" s="54" t="s">
        <v>6</v>
      </c>
      <c r="I1" s="51" t="s">
        <v>7</v>
      </c>
      <c r="J1" s="56" t="s">
        <v>8</v>
      </c>
      <c r="K1" s="52" t="s">
        <v>9</v>
      </c>
    </row>
    <row r="2" spans="1:11" x14ac:dyDescent="0.3">
      <c r="A2" s="51"/>
      <c r="B2" s="52"/>
      <c r="C2" s="53"/>
      <c r="D2" s="51"/>
      <c r="E2" s="2" t="s">
        <v>10</v>
      </c>
      <c r="F2" s="2" t="s">
        <v>11</v>
      </c>
      <c r="G2" s="51"/>
      <c r="H2" s="55"/>
      <c r="I2" s="51"/>
      <c r="J2" s="56"/>
      <c r="K2" s="52"/>
    </row>
    <row r="3" spans="1:11" ht="43.2" x14ac:dyDescent="0.3">
      <c r="A3" s="4">
        <v>1</v>
      </c>
      <c r="B3" s="47" t="s">
        <v>12</v>
      </c>
      <c r="C3" s="42" t="s">
        <v>13</v>
      </c>
      <c r="D3" s="41" t="s">
        <v>14</v>
      </c>
      <c r="E3" s="44">
        <v>10</v>
      </c>
      <c r="F3" s="44" t="s">
        <v>15</v>
      </c>
      <c r="G3" s="44">
        <v>1</v>
      </c>
      <c r="H3" s="44">
        <v>64</v>
      </c>
      <c r="I3" s="43" t="s">
        <v>16</v>
      </c>
      <c r="J3" s="44" t="s">
        <v>17</v>
      </c>
      <c r="K3" s="45" t="s">
        <v>18</v>
      </c>
    </row>
    <row r="4" spans="1:11" ht="43.2" x14ac:dyDescent="0.3">
      <c r="A4" s="4">
        <v>2</v>
      </c>
      <c r="B4" s="45" t="s">
        <v>19</v>
      </c>
      <c r="C4" s="40" t="s">
        <v>20</v>
      </c>
      <c r="D4" s="4" t="s">
        <v>14</v>
      </c>
      <c r="E4" s="4">
        <v>10</v>
      </c>
      <c r="F4" s="4" t="s">
        <v>15</v>
      </c>
      <c r="G4" s="4">
        <v>1</v>
      </c>
      <c r="H4" s="4">
        <v>80</v>
      </c>
      <c r="I4" s="38" t="s">
        <v>16</v>
      </c>
      <c r="J4" s="4" t="s">
        <v>17</v>
      </c>
      <c r="K4" s="45" t="s">
        <v>21</v>
      </c>
    </row>
    <row r="5" spans="1:11" ht="43.2" x14ac:dyDescent="0.3">
      <c r="A5" s="4">
        <v>3</v>
      </c>
      <c r="B5" s="47" t="s">
        <v>22</v>
      </c>
      <c r="C5" s="42" t="s">
        <v>23</v>
      </c>
      <c r="D5" s="4" t="s">
        <v>14</v>
      </c>
      <c r="E5" s="4">
        <v>10</v>
      </c>
      <c r="F5" s="4" t="s">
        <v>24</v>
      </c>
      <c r="G5" s="4">
        <v>2</v>
      </c>
      <c r="H5" s="4">
        <v>88</v>
      </c>
      <c r="I5" s="38" t="s">
        <v>25</v>
      </c>
      <c r="J5" s="4" t="s">
        <v>26</v>
      </c>
      <c r="K5" s="46" t="s">
        <v>27</v>
      </c>
    </row>
    <row r="6" spans="1:11" ht="57.6" x14ac:dyDescent="0.3">
      <c r="A6" s="4">
        <v>4</v>
      </c>
      <c r="B6" s="45" t="s">
        <v>28</v>
      </c>
      <c r="C6" s="40" t="s">
        <v>29</v>
      </c>
      <c r="D6" s="4" t="s">
        <v>14</v>
      </c>
      <c r="E6" s="4">
        <v>10</v>
      </c>
      <c r="F6" s="4" t="s">
        <v>24</v>
      </c>
      <c r="G6" s="4">
        <v>2</v>
      </c>
      <c r="H6" s="4">
        <v>72</v>
      </c>
      <c r="I6" s="38" t="s">
        <v>25</v>
      </c>
      <c r="J6" s="4" t="s">
        <v>17</v>
      </c>
      <c r="K6" s="46" t="s">
        <v>30</v>
      </c>
    </row>
    <row r="7" spans="1:11" ht="57.6" x14ac:dyDescent="0.3">
      <c r="A7" s="4">
        <v>5</v>
      </c>
      <c r="B7" s="48" t="s">
        <v>31</v>
      </c>
      <c r="C7" s="40" t="s">
        <v>32</v>
      </c>
      <c r="D7" s="4" t="s">
        <v>14</v>
      </c>
      <c r="E7" s="4">
        <v>9</v>
      </c>
      <c r="F7" s="4" t="s">
        <v>24</v>
      </c>
      <c r="G7" s="4">
        <v>3</v>
      </c>
      <c r="H7" s="4">
        <v>56</v>
      </c>
      <c r="I7" s="38" t="s">
        <v>25</v>
      </c>
      <c r="J7" s="4" t="s">
        <v>33</v>
      </c>
      <c r="K7" s="46" t="s">
        <v>34</v>
      </c>
    </row>
    <row r="8" spans="1:11" ht="43.2" x14ac:dyDescent="0.3">
      <c r="A8" s="4">
        <v>6</v>
      </c>
      <c r="B8" s="49" t="s">
        <v>35</v>
      </c>
      <c r="C8" s="37" t="s">
        <v>36</v>
      </c>
      <c r="D8" s="44" t="s">
        <v>14</v>
      </c>
      <c r="E8" s="44">
        <v>8</v>
      </c>
      <c r="F8" s="4" t="s">
        <v>24</v>
      </c>
      <c r="G8" s="4">
        <v>3</v>
      </c>
      <c r="H8" s="4">
        <v>96</v>
      </c>
      <c r="I8" s="38" t="s">
        <v>25</v>
      </c>
      <c r="J8" s="4" t="s">
        <v>17</v>
      </c>
      <c r="K8" s="45" t="s">
        <v>37</v>
      </c>
    </row>
    <row r="9" spans="1:11" ht="43.2" x14ac:dyDescent="0.3">
      <c r="A9" s="4">
        <v>7</v>
      </c>
      <c r="B9" s="45" t="s">
        <v>38</v>
      </c>
      <c r="C9" s="40" t="s">
        <v>39</v>
      </c>
      <c r="D9" s="4" t="s">
        <v>14</v>
      </c>
      <c r="E9" s="4">
        <v>8</v>
      </c>
      <c r="F9" s="4" t="s">
        <v>24</v>
      </c>
      <c r="G9" s="4">
        <v>4</v>
      </c>
      <c r="H9" s="4">
        <v>64</v>
      </c>
      <c r="I9" s="38" t="s">
        <v>25</v>
      </c>
      <c r="J9" s="4" t="s">
        <v>17</v>
      </c>
      <c r="K9" s="45" t="s">
        <v>40</v>
      </c>
    </row>
    <row r="10" spans="1:11" ht="43.2" x14ac:dyDescent="0.3">
      <c r="A10" s="4">
        <v>8</v>
      </c>
      <c r="B10" s="50" t="s">
        <v>41</v>
      </c>
      <c r="C10" s="8" t="s">
        <v>42</v>
      </c>
      <c r="D10" s="4" t="s">
        <v>43</v>
      </c>
      <c r="E10" s="4">
        <v>7</v>
      </c>
      <c r="F10" s="4" t="s">
        <v>24</v>
      </c>
      <c r="G10" s="4">
        <v>5</v>
      </c>
      <c r="H10" s="4">
        <v>88</v>
      </c>
      <c r="I10" s="38" t="s">
        <v>25</v>
      </c>
      <c r="J10" s="4" t="s">
        <v>17</v>
      </c>
      <c r="K10" s="46" t="s">
        <v>44</v>
      </c>
    </row>
    <row r="11" spans="1:11" ht="57.6" x14ac:dyDescent="0.3">
      <c r="A11" s="4">
        <v>9</v>
      </c>
      <c r="B11" s="40" t="s">
        <v>45</v>
      </c>
      <c r="C11" s="8" t="s">
        <v>46</v>
      </c>
      <c r="D11" s="4" t="s">
        <v>14</v>
      </c>
      <c r="E11" s="4">
        <v>7</v>
      </c>
      <c r="F11" s="4" t="s">
        <v>24</v>
      </c>
      <c r="G11" s="4">
        <v>4</v>
      </c>
      <c r="H11" s="4">
        <v>64</v>
      </c>
      <c r="I11" s="38" t="s">
        <v>25</v>
      </c>
      <c r="J11" s="4" t="s">
        <v>17</v>
      </c>
      <c r="K11" s="40" t="s">
        <v>47</v>
      </c>
    </row>
    <row r="12" spans="1:11" ht="43.2" x14ac:dyDescent="0.3">
      <c r="A12" s="4">
        <v>10</v>
      </c>
      <c r="B12" s="40" t="s">
        <v>48</v>
      </c>
      <c r="C12" s="42" t="s">
        <v>49</v>
      </c>
      <c r="D12" s="4" t="s">
        <v>43</v>
      </c>
      <c r="E12" s="4">
        <v>6</v>
      </c>
      <c r="F12" s="4" t="s">
        <v>24</v>
      </c>
      <c r="G12" s="4">
        <v>5</v>
      </c>
      <c r="H12" s="4">
        <v>72</v>
      </c>
      <c r="I12" s="38" t="s">
        <v>25</v>
      </c>
      <c r="J12" s="4" t="s">
        <v>26</v>
      </c>
      <c r="K12" s="46" t="s">
        <v>50</v>
      </c>
    </row>
    <row r="13" spans="1:11" ht="43.2" x14ac:dyDescent="0.3">
      <c r="A13" s="4">
        <v>11</v>
      </c>
      <c r="B13" s="40" t="s">
        <v>51</v>
      </c>
      <c r="C13" s="8" t="s">
        <v>52</v>
      </c>
      <c r="D13" s="4" t="s">
        <v>14</v>
      </c>
      <c r="E13" s="4">
        <v>6</v>
      </c>
      <c r="F13" s="4" t="s">
        <v>24</v>
      </c>
      <c r="G13" s="4">
        <v>6</v>
      </c>
      <c r="H13" s="4">
        <v>40</v>
      </c>
      <c r="I13" s="38" t="s">
        <v>25</v>
      </c>
      <c r="J13" s="4" t="s">
        <v>17</v>
      </c>
      <c r="K13" s="40" t="s">
        <v>53</v>
      </c>
    </row>
    <row r="14" spans="1:11" ht="43.2" x14ac:dyDescent="0.3">
      <c r="A14" s="4">
        <v>12</v>
      </c>
      <c r="B14" s="40" t="s">
        <v>54</v>
      </c>
      <c r="C14" s="8" t="s">
        <v>55</v>
      </c>
      <c r="D14" s="4" t="s">
        <v>14</v>
      </c>
      <c r="E14" s="4">
        <v>6</v>
      </c>
      <c r="F14" s="4" t="s">
        <v>24</v>
      </c>
      <c r="G14" s="4">
        <v>6</v>
      </c>
      <c r="H14" s="4">
        <v>56</v>
      </c>
      <c r="I14" s="38" t="s">
        <v>25</v>
      </c>
      <c r="J14" s="4" t="s">
        <v>17</v>
      </c>
      <c r="K14" s="40" t="s">
        <v>56</v>
      </c>
    </row>
  </sheetData>
  <mergeCells count="10">
    <mergeCell ref="I1:I2"/>
    <mergeCell ref="H1:H2"/>
    <mergeCell ref="J1:J2"/>
    <mergeCell ref="K1:K2"/>
    <mergeCell ref="E1:F1"/>
    <mergeCell ref="A1:A2"/>
    <mergeCell ref="B1:B2"/>
    <mergeCell ref="C1:C2"/>
    <mergeCell ref="D1:D2"/>
    <mergeCell ref="G1:G2"/>
  </mergeCells>
  <conditionalFormatting sqref="J3:J14">
    <cfRule type="cellIs" dxfId="7" priority="1" operator="equal">
      <formula>"Vermelho"</formula>
    </cfRule>
    <cfRule type="cellIs" dxfId="6" priority="2" operator="equal">
      <formula>"Amarelo"</formula>
    </cfRule>
    <cfRule type="cellIs" dxfId="5" priority="3" operator="equal">
      <formula>"Verde"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parametros!$D$2:$D$4</xm:f>
          </x14:formula1>
          <xm:sqref>J3:J14</xm:sqref>
        </x14:dataValidation>
        <x14:dataValidation type="list" allowBlank="1" showInputMessage="1" showErrorMessage="1" xr:uid="{00000000-0002-0000-0000-000002000000}">
          <x14:formula1>
            <xm:f>parametros!$E$2:$E$7</xm:f>
          </x14:formula1>
          <xm:sqref>I3:I14</xm:sqref>
        </x14:dataValidation>
        <x14:dataValidation type="list" allowBlank="1" showInputMessage="1" showErrorMessage="1" xr:uid="{00000000-0002-0000-0000-000003000000}">
          <x14:formula1>
            <xm:f>parametros!$F$2:$F$12</xm:f>
          </x14:formula1>
          <xm:sqref>E3:E14</xm:sqref>
        </x14:dataValidation>
        <x14:dataValidation type="list" allowBlank="1" showInputMessage="1" showErrorMessage="1" xr:uid="{00000000-0002-0000-0000-000004000000}">
          <x14:formula1>
            <xm:f>parametros!$B$2:$B$4</xm:f>
          </x14:formula1>
          <xm:sqref>F3:F14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tabSelected="1" workbookViewId="0">
      <selection activeCell="P20" sqref="P20"/>
    </sheetView>
  </sheetViews>
  <sheetFormatPr defaultRowHeight="14.4" x14ac:dyDescent="0.3"/>
  <cols>
    <col min="1" max="1" width="6.44140625" customWidth="1"/>
    <col min="2" max="2" width="27" customWidth="1"/>
    <col min="3" max="6" width="10.5546875" customWidth="1"/>
    <col min="7" max="7" width="14.33203125" customWidth="1"/>
    <col min="8" max="8" width="9.88671875" style="1" bestFit="1" customWidth="1"/>
    <col min="9" max="9" width="35.33203125" customWidth="1"/>
    <col min="10" max="10" width="16" bestFit="1" customWidth="1"/>
    <col min="11" max="11" width="12.44140625" customWidth="1"/>
    <col min="12" max="12" width="11.109375" customWidth="1"/>
    <col min="13" max="13" width="11.109375" bestFit="1" customWidth="1"/>
    <col min="14" max="14" width="12.88671875" customWidth="1"/>
    <col min="15" max="15" width="11.6640625" customWidth="1"/>
  </cols>
  <sheetData>
    <row r="1" spans="1:15" ht="21" thickBot="1" x14ac:dyDescent="0.35">
      <c r="A1" s="31" t="s">
        <v>57</v>
      </c>
      <c r="B1" s="27" t="s">
        <v>58</v>
      </c>
      <c r="C1" s="28">
        <v>45627</v>
      </c>
      <c r="D1" s="29" t="s">
        <v>59</v>
      </c>
      <c r="E1" s="30">
        <v>45717</v>
      </c>
      <c r="F1" s="24"/>
      <c r="G1" s="24"/>
      <c r="H1" s="25"/>
      <c r="I1" s="26"/>
      <c r="L1" s="15" t="s">
        <v>60</v>
      </c>
      <c r="M1" s="16">
        <f ca="1">TODAY()</f>
        <v>45777</v>
      </c>
      <c r="N1" s="17" t="s">
        <v>61</v>
      </c>
      <c r="O1" s="18">
        <f>SUM(F4:F15)</f>
        <v>800</v>
      </c>
    </row>
    <row r="2" spans="1:15" x14ac:dyDescent="0.3">
      <c r="A2" s="57" t="s">
        <v>0</v>
      </c>
      <c r="B2" s="59" t="s">
        <v>1</v>
      </c>
      <c r="C2" s="65" t="s">
        <v>6</v>
      </c>
      <c r="D2" s="65" t="s">
        <v>62</v>
      </c>
      <c r="E2" s="65" t="s">
        <v>63</v>
      </c>
      <c r="F2" s="54" t="s">
        <v>64</v>
      </c>
      <c r="G2" s="51" t="s">
        <v>7</v>
      </c>
      <c r="H2" s="56" t="s">
        <v>8</v>
      </c>
      <c r="I2" s="68" t="s">
        <v>9</v>
      </c>
      <c r="L2" s="63" t="s">
        <v>65</v>
      </c>
      <c r="M2" s="64"/>
      <c r="N2" s="61" t="s">
        <v>66</v>
      </c>
      <c r="O2" s="62"/>
    </row>
    <row r="3" spans="1:15" ht="15" thickBot="1" x14ac:dyDescent="0.35">
      <c r="A3" s="58"/>
      <c r="B3" s="60"/>
      <c r="C3" s="66"/>
      <c r="D3" s="66"/>
      <c r="E3" s="66"/>
      <c r="F3" s="66"/>
      <c r="G3" s="60"/>
      <c r="H3" s="67"/>
      <c r="I3" s="69"/>
      <c r="L3" s="13" t="s">
        <v>67</v>
      </c>
      <c r="M3" s="14" t="s">
        <v>68</v>
      </c>
      <c r="N3" s="34" t="s">
        <v>67</v>
      </c>
      <c r="O3" s="14" t="s">
        <v>69</v>
      </c>
    </row>
    <row r="4" spans="1:15" x14ac:dyDescent="0.3">
      <c r="A4" s="19">
        <v>1</v>
      </c>
      <c r="B4" s="20" t="str">
        <f>IF(A4="","",VLOOKUP(A4,'Product Backlog'!A3:K14,2,FALSE))</f>
        <v>Cadastro de Comandas</v>
      </c>
      <c r="C4" s="20">
        <f>IF(A4="","",VLOOKUP(A4,'Product Backlog'!A3:K14,8,FALSE))</f>
        <v>64</v>
      </c>
      <c r="D4" s="21">
        <v>45627</v>
      </c>
      <c r="E4" s="21">
        <v>45631</v>
      </c>
      <c r="F4" s="22">
        <f>IF(A4="","",(E4-D4+1)*parametros!G2)</f>
        <v>40</v>
      </c>
      <c r="G4" s="19" t="s">
        <v>16</v>
      </c>
      <c r="H4" s="23" t="s">
        <v>17</v>
      </c>
      <c r="I4" s="19"/>
      <c r="J4" s="36">
        <v>45627</v>
      </c>
      <c r="K4" s="36">
        <f>C1</f>
        <v>45627</v>
      </c>
      <c r="L4" s="32" t="s">
        <v>70</v>
      </c>
      <c r="M4" s="33">
        <f>SUM(L5:L15)</f>
        <v>856</v>
      </c>
      <c r="N4" s="32"/>
      <c r="O4" s="33">
        <f>SUM(N5:N15)</f>
        <v>768</v>
      </c>
    </row>
    <row r="5" spans="1:15" x14ac:dyDescent="0.3">
      <c r="A5" s="6">
        <v>2</v>
      </c>
      <c r="B5" s="3" t="str">
        <f>IF(A5="","",VLOOKUP(A5,'Product Backlog'!A4:K15,2,FALSE))</f>
        <v>Registro de Pedidos</v>
      </c>
      <c r="C5" s="3">
        <f>IF(A5="","",VLOOKUP(A5,'Product Backlog'!A4:K15,8,FALSE))</f>
        <v>80</v>
      </c>
      <c r="D5" s="7">
        <v>45632</v>
      </c>
      <c r="E5" s="7">
        <v>45635</v>
      </c>
      <c r="F5" s="22">
        <f>IF(A5="","",(E5-D5+1)*parametros!G2)</f>
        <v>32</v>
      </c>
      <c r="G5" s="6" t="s">
        <v>16</v>
      </c>
      <c r="H5" s="9" t="s">
        <v>17</v>
      </c>
      <c r="I5" s="6"/>
      <c r="J5" s="36">
        <v>45636</v>
      </c>
      <c r="K5" s="36">
        <v>45630</v>
      </c>
      <c r="L5" s="11">
        <f t="shared" ref="L5:L15" si="0">C4</f>
        <v>64</v>
      </c>
      <c r="M5" s="11">
        <f>IF(L5="","",$O$1-L5)</f>
        <v>736</v>
      </c>
      <c r="N5" s="12">
        <f t="shared" ref="N5:N15" si="1">F4</f>
        <v>40</v>
      </c>
      <c r="O5" s="11">
        <f>IF(A4="","",O1-N5)</f>
        <v>760</v>
      </c>
    </row>
    <row r="6" spans="1:15" x14ac:dyDescent="0.3">
      <c r="A6" s="6">
        <v>3</v>
      </c>
      <c r="B6" s="3" t="str">
        <f>IF(A6="","",VLOOKUP(A6,'Product Backlog'!A5:K16,2,FALSE))</f>
        <v>Controle de Pagamento</v>
      </c>
      <c r="C6" s="3">
        <f>IF(A6="","",VLOOKUP(A6,'Product Backlog'!A5:K16,8,FALSE))</f>
        <v>88</v>
      </c>
      <c r="D6" s="7">
        <v>45636</v>
      </c>
      <c r="E6" s="7">
        <v>45645</v>
      </c>
      <c r="F6" s="22">
        <f>IF(A6="","",(E6-D6+1)*parametros!G2)</f>
        <v>80</v>
      </c>
      <c r="G6" s="6" t="s">
        <v>25</v>
      </c>
      <c r="H6" s="9" t="s">
        <v>26</v>
      </c>
      <c r="I6" s="6" t="s">
        <v>71</v>
      </c>
      <c r="J6" s="36">
        <v>45646</v>
      </c>
      <c r="K6" s="36">
        <f>K5+12</f>
        <v>45642</v>
      </c>
      <c r="L6" s="11">
        <f t="shared" si="0"/>
        <v>80</v>
      </c>
      <c r="M6" s="4">
        <f>IF(L6="","",M5-L6)</f>
        <v>656</v>
      </c>
      <c r="N6" s="5">
        <f t="shared" si="1"/>
        <v>32</v>
      </c>
      <c r="O6" s="4">
        <f t="shared" ref="O6:O15" si="2">IF(A5="","",O5-N6)</f>
        <v>728</v>
      </c>
    </row>
    <row r="7" spans="1:15" x14ac:dyDescent="0.3">
      <c r="A7" s="6">
        <v>4</v>
      </c>
      <c r="B7" s="3" t="str">
        <f>IF(A7="","",VLOOKUP(A7,'Product Backlog'!A6:K17,2,FALSE))</f>
        <v>Controle de Saída</v>
      </c>
      <c r="C7" s="3">
        <f>IF(A7="","",VLOOKUP(A7,'Product Backlog'!A6:K17,8,FALSE))</f>
        <v>72</v>
      </c>
      <c r="D7" s="7">
        <v>45645</v>
      </c>
      <c r="E7" s="7">
        <v>45653</v>
      </c>
      <c r="F7" s="22">
        <f>IF(A7="","",(E7-D7+1)*parametros!G2)</f>
        <v>72</v>
      </c>
      <c r="G7" s="6" t="s">
        <v>25</v>
      </c>
      <c r="H7" s="9" t="s">
        <v>17</v>
      </c>
      <c r="I7" s="6"/>
      <c r="J7" s="36">
        <v>45656</v>
      </c>
      <c r="K7" s="36">
        <f>K6+12</f>
        <v>45654</v>
      </c>
      <c r="L7" s="11">
        <f t="shared" si="0"/>
        <v>88</v>
      </c>
      <c r="M7" s="4">
        <f>IF(L7="","",M6-L7)</f>
        <v>568</v>
      </c>
      <c r="N7" s="5">
        <f t="shared" si="1"/>
        <v>80</v>
      </c>
      <c r="O7" s="4">
        <f>IF(A6="","",O6-N7)</f>
        <v>648</v>
      </c>
    </row>
    <row r="8" spans="1:15" x14ac:dyDescent="0.3">
      <c r="A8" s="6">
        <v>5</v>
      </c>
      <c r="B8" s="3" t="str">
        <f>IF(A8="","",VLOOKUP(A8,'Product Backlog'!A7:K18,2,FALSE))</f>
        <v>Cálculo da Consumação Mínima</v>
      </c>
      <c r="C8" s="3">
        <v>128</v>
      </c>
      <c r="D8" s="7">
        <v>45653</v>
      </c>
      <c r="E8" s="7">
        <v>45670</v>
      </c>
      <c r="F8" s="22">
        <f>IF(A9="","",(E8-D8+1)*parametros!G2)</f>
        <v>144</v>
      </c>
      <c r="G8" s="6" t="s">
        <v>25</v>
      </c>
      <c r="H8" s="9" t="s">
        <v>33</v>
      </c>
      <c r="I8" s="6"/>
      <c r="J8" s="36">
        <v>45667</v>
      </c>
      <c r="K8" s="36">
        <f>K7+10</f>
        <v>45664</v>
      </c>
      <c r="L8" s="11">
        <f t="shared" si="0"/>
        <v>72</v>
      </c>
      <c r="M8" s="4">
        <f>IF(L8="","",M7-L8)</f>
        <v>496</v>
      </c>
      <c r="N8" s="5">
        <f t="shared" si="1"/>
        <v>72</v>
      </c>
      <c r="O8" s="4">
        <f t="shared" si="2"/>
        <v>576</v>
      </c>
    </row>
    <row r="9" spans="1:15" x14ac:dyDescent="0.3">
      <c r="A9" s="6">
        <v>6</v>
      </c>
      <c r="B9" s="3" t="str">
        <f>IF(A9="","",VLOOKUP(A9,'Product Backlog'!A8:K19,2,FALSE))</f>
        <v>Cadastro de Produtos</v>
      </c>
      <c r="C9" s="3">
        <f>IF(A9="","",VLOOKUP(A9,'Product Backlog'!A8:K19,8,FALSE))</f>
        <v>96</v>
      </c>
      <c r="D9" s="7">
        <v>45670</v>
      </c>
      <c r="E9" s="7">
        <v>45679</v>
      </c>
      <c r="F9" s="22">
        <f>IF(A9="","",(E9-D9+1)*parametros!G2)</f>
        <v>80</v>
      </c>
      <c r="G9" s="6" t="s">
        <v>25</v>
      </c>
      <c r="H9" s="9" t="s">
        <v>17</v>
      </c>
      <c r="I9" s="6"/>
      <c r="J9" s="36">
        <v>45677</v>
      </c>
      <c r="K9" s="36">
        <f>K8+12</f>
        <v>45676</v>
      </c>
      <c r="L9" s="11">
        <f t="shared" si="0"/>
        <v>128</v>
      </c>
      <c r="M9" s="4">
        <f>IF(L9="","",M8-L9)</f>
        <v>368</v>
      </c>
      <c r="N9" s="5">
        <f t="shared" si="1"/>
        <v>144</v>
      </c>
      <c r="O9" s="4">
        <f t="shared" si="2"/>
        <v>432</v>
      </c>
    </row>
    <row r="10" spans="1:15" x14ac:dyDescent="0.3">
      <c r="A10" s="6">
        <v>7</v>
      </c>
      <c r="B10" s="3" t="str">
        <f>IF(A10="","",VLOOKUP(A10,'Product Backlog'!A9:K20,2,FALSE))</f>
        <v>Controle de Estoque</v>
      </c>
      <c r="C10" s="3">
        <f>IF(A10="","",VLOOKUP(A10,'Product Backlog'!A9:K20,8,FALSE))</f>
        <v>64</v>
      </c>
      <c r="D10" s="7">
        <v>45679</v>
      </c>
      <c r="E10" s="7">
        <v>45686</v>
      </c>
      <c r="F10" s="22">
        <f>IF(A10="","",(E10-D10+1)*parametros!G2)</f>
        <v>64</v>
      </c>
      <c r="G10" s="6" t="s">
        <v>25</v>
      </c>
      <c r="H10" s="9" t="s">
        <v>17</v>
      </c>
      <c r="I10" s="6"/>
      <c r="J10" s="36">
        <v>45687</v>
      </c>
      <c r="K10" s="36">
        <f>K9+10</f>
        <v>45686</v>
      </c>
      <c r="L10" s="11">
        <f t="shared" si="0"/>
        <v>96</v>
      </c>
      <c r="M10" s="4">
        <f t="shared" ref="M10:M15" si="3">IF(L10="","",M9-L10)</f>
        <v>272</v>
      </c>
      <c r="N10" s="5">
        <f t="shared" si="1"/>
        <v>80</v>
      </c>
      <c r="O10" s="4">
        <f t="shared" si="2"/>
        <v>352</v>
      </c>
    </row>
    <row r="11" spans="1:15" x14ac:dyDescent="0.3">
      <c r="A11" s="6">
        <v>8</v>
      </c>
      <c r="B11" s="3" t="str">
        <f>IF(A11="","",VLOOKUP(A11,'Product Backlog'!A10:K21,2,FALSE))</f>
        <v>Relatórios de Vendas</v>
      </c>
      <c r="C11" s="3">
        <f>IF(A11="","",VLOOKUP(A11,'Product Backlog'!A10:K21,8,FALSE))</f>
        <v>88</v>
      </c>
      <c r="D11" s="7">
        <v>45686</v>
      </c>
      <c r="E11" s="7">
        <v>45695</v>
      </c>
      <c r="F11" s="22">
        <f>IF(A11="","",(E11-D11+1)*parametros!G2)</f>
        <v>80</v>
      </c>
      <c r="G11" s="6" t="s">
        <v>25</v>
      </c>
      <c r="H11" s="9" t="s">
        <v>17</v>
      </c>
      <c r="I11" s="6"/>
      <c r="J11" s="36">
        <v>45698</v>
      </c>
      <c r="K11" s="36">
        <f>K10+10</f>
        <v>45696</v>
      </c>
      <c r="L11" s="11">
        <f t="shared" si="0"/>
        <v>64</v>
      </c>
      <c r="M11" s="4">
        <f t="shared" si="3"/>
        <v>208</v>
      </c>
      <c r="N11" s="5">
        <f t="shared" si="1"/>
        <v>64</v>
      </c>
      <c r="O11" s="4">
        <f t="shared" si="2"/>
        <v>288</v>
      </c>
    </row>
    <row r="12" spans="1:15" x14ac:dyDescent="0.3">
      <c r="A12" s="6">
        <v>9</v>
      </c>
      <c r="B12" s="3" t="str">
        <f>IF(A12="","",VLOOKUP(A12,'Product Backlog'!A11:K22,2,FALSE))</f>
        <v>Gerenciamento de Acesso</v>
      </c>
      <c r="C12" s="3">
        <f>IF(A12="","",VLOOKUP(A12,'Product Backlog'!A11:K22,8,FALSE))</f>
        <v>64</v>
      </c>
      <c r="D12" s="7">
        <v>45695</v>
      </c>
      <c r="E12" s="7">
        <v>45701</v>
      </c>
      <c r="F12" s="22">
        <f>IF(A12="","",(E12-D12+1)*parametros!G2)</f>
        <v>56</v>
      </c>
      <c r="G12" s="6" t="s">
        <v>25</v>
      </c>
      <c r="H12" s="9" t="s">
        <v>17</v>
      </c>
      <c r="I12" s="6"/>
      <c r="J12" s="36">
        <v>45708</v>
      </c>
      <c r="K12" s="36">
        <f>K11+10</f>
        <v>45706</v>
      </c>
      <c r="L12" s="11">
        <f t="shared" si="0"/>
        <v>88</v>
      </c>
      <c r="M12" s="4">
        <f t="shared" si="3"/>
        <v>120</v>
      </c>
      <c r="N12" s="5">
        <f t="shared" si="1"/>
        <v>80</v>
      </c>
      <c r="O12" s="4">
        <f t="shared" si="2"/>
        <v>208</v>
      </c>
    </row>
    <row r="13" spans="1:15" x14ac:dyDescent="0.3">
      <c r="A13" s="6">
        <v>10</v>
      </c>
      <c r="B13" s="3" t="str">
        <f>IF(A13="","",VLOOKUP(A13,'Product Backlog'!A12:K23,2,FALSE))</f>
        <v>Relatório de Consumação</v>
      </c>
      <c r="C13" s="3">
        <f>IF(A13="","",VLOOKUP(A13,'Product Backlog'!A12:K23,8,FALSE))</f>
        <v>72</v>
      </c>
      <c r="D13" s="7">
        <v>45701</v>
      </c>
      <c r="E13" s="7">
        <v>45711</v>
      </c>
      <c r="F13" s="22">
        <f>IF(A13="","",(E13-D13+1)*parametros!G2)</f>
        <v>88</v>
      </c>
      <c r="G13" s="6" t="s">
        <v>25</v>
      </c>
      <c r="H13" s="9" t="s">
        <v>26</v>
      </c>
      <c r="I13" s="6"/>
      <c r="J13" s="36">
        <v>45717</v>
      </c>
      <c r="K13" s="36">
        <f>K12+8</f>
        <v>45714</v>
      </c>
      <c r="L13" s="11">
        <f t="shared" si="0"/>
        <v>64</v>
      </c>
      <c r="M13" s="4">
        <f t="shared" si="3"/>
        <v>56</v>
      </c>
      <c r="N13" s="5">
        <f t="shared" si="1"/>
        <v>56</v>
      </c>
      <c r="O13" s="4">
        <f t="shared" si="2"/>
        <v>152</v>
      </c>
    </row>
    <row r="14" spans="1:15" x14ac:dyDescent="0.3">
      <c r="A14" s="6">
        <v>11</v>
      </c>
      <c r="B14" s="3" t="str">
        <f>IF(A14="","",VLOOKUP(A14,'Product Backlog'!A13:K24,2,FALSE))</f>
        <v>Dashboard de Gestão</v>
      </c>
      <c r="C14" s="3">
        <f>IF(A14="","",VLOOKUP(A14,'Product Backlog'!A13:K24,8,FALSE))</f>
        <v>40</v>
      </c>
      <c r="D14" s="7">
        <v>45711</v>
      </c>
      <c r="E14" s="7">
        <v>45714</v>
      </c>
      <c r="F14" s="22">
        <f>IF(A14="","",(E14-D14+1)*parametros!G2)</f>
        <v>32</v>
      </c>
      <c r="G14" s="6" t="s">
        <v>25</v>
      </c>
      <c r="H14" s="9" t="s">
        <v>17</v>
      </c>
      <c r="I14" s="6"/>
      <c r="J14" s="36"/>
      <c r="K14" s="36">
        <f>K13+1</f>
        <v>45715</v>
      </c>
      <c r="L14" s="11">
        <f t="shared" si="0"/>
        <v>72</v>
      </c>
      <c r="M14" s="4">
        <f t="shared" si="3"/>
        <v>-16</v>
      </c>
      <c r="N14" s="5">
        <f t="shared" si="1"/>
        <v>88</v>
      </c>
      <c r="O14" s="4">
        <f t="shared" si="2"/>
        <v>64</v>
      </c>
    </row>
    <row r="15" spans="1:15" x14ac:dyDescent="0.3">
      <c r="A15" s="6">
        <v>12</v>
      </c>
      <c r="B15" s="3" t="str">
        <f>IF(A15="","",VLOOKUP(A15,'Product Backlog'!A14:K25,2,FALSE))</f>
        <v>Fechamento Diário</v>
      </c>
      <c r="C15" s="3">
        <f>IF(A15="","",VLOOKUP(A15,'Product Backlog'!A14:K25,8,FALSE))</f>
        <v>56</v>
      </c>
      <c r="D15" s="7">
        <v>45714</v>
      </c>
      <c r="E15" s="7">
        <v>45717</v>
      </c>
      <c r="F15" s="22">
        <f>IF(A15="","",(E15-D15+1)*parametros!G2)</f>
        <v>32</v>
      </c>
      <c r="G15" s="6" t="s">
        <v>25</v>
      </c>
      <c r="H15" s="9" t="s">
        <v>17</v>
      </c>
      <c r="I15" s="6"/>
      <c r="J15" s="36"/>
      <c r="K15" s="36">
        <v>45352</v>
      </c>
      <c r="L15" s="11">
        <f t="shared" si="0"/>
        <v>40</v>
      </c>
      <c r="M15" s="4">
        <f t="shared" si="3"/>
        <v>-56</v>
      </c>
      <c r="N15" s="5">
        <f t="shared" si="1"/>
        <v>32</v>
      </c>
      <c r="O15" s="4">
        <f t="shared" si="2"/>
        <v>32</v>
      </c>
    </row>
    <row r="16" spans="1:15" x14ac:dyDescent="0.3">
      <c r="L16" s="1"/>
      <c r="M16" s="1"/>
      <c r="N16" s="1"/>
      <c r="O16" s="1"/>
    </row>
    <row r="17" spans="12:15" x14ac:dyDescent="0.3">
      <c r="L17" s="1"/>
      <c r="M17" s="1"/>
      <c r="N17" s="1"/>
      <c r="O17" s="1"/>
    </row>
    <row r="18" spans="12:15" x14ac:dyDescent="0.3">
      <c r="L18" s="1"/>
      <c r="M18" s="1"/>
      <c r="N18" s="1"/>
      <c r="O18" s="1"/>
    </row>
    <row r="19" spans="12:15" x14ac:dyDescent="0.3">
      <c r="L19" s="1"/>
      <c r="M19" s="1"/>
      <c r="N19" s="1"/>
      <c r="O19" s="1"/>
    </row>
    <row r="20" spans="12:15" x14ac:dyDescent="0.3">
      <c r="L20" s="1"/>
      <c r="M20" s="1"/>
      <c r="N20" s="1"/>
      <c r="O20" s="1"/>
    </row>
    <row r="21" spans="12:15" x14ac:dyDescent="0.3">
      <c r="L21" s="1"/>
      <c r="M21" s="1"/>
      <c r="N21" s="1"/>
      <c r="O21" s="1"/>
    </row>
    <row r="22" spans="12:15" x14ac:dyDescent="0.3">
      <c r="L22" s="1"/>
      <c r="M22" s="1"/>
      <c r="N22" s="1"/>
      <c r="O22" s="1"/>
    </row>
    <row r="23" spans="12:15" x14ac:dyDescent="0.3">
      <c r="L23" s="1"/>
      <c r="M23" s="1"/>
      <c r="N23" s="1"/>
      <c r="O23" s="1"/>
    </row>
    <row r="24" spans="12:15" x14ac:dyDescent="0.3">
      <c r="L24" s="1"/>
      <c r="M24" s="1"/>
      <c r="N24" s="1"/>
      <c r="O24" s="1"/>
    </row>
    <row r="25" spans="12:15" x14ac:dyDescent="0.3">
      <c r="L25" s="1"/>
      <c r="M25" s="1"/>
      <c r="N25" s="1"/>
      <c r="O25" s="1"/>
    </row>
    <row r="26" spans="12:15" x14ac:dyDescent="0.3">
      <c r="L26" s="1"/>
      <c r="M26" s="1"/>
      <c r="N26" s="1"/>
      <c r="O26" s="1"/>
    </row>
    <row r="27" spans="12:15" x14ac:dyDescent="0.3">
      <c r="L27" s="1"/>
      <c r="M27" s="1"/>
      <c r="N27" s="1"/>
      <c r="O27" s="1"/>
    </row>
    <row r="28" spans="12:15" x14ac:dyDescent="0.3">
      <c r="L28" s="1"/>
      <c r="M28" s="1"/>
      <c r="N28" s="1"/>
      <c r="O28" s="1"/>
    </row>
    <row r="29" spans="12:15" x14ac:dyDescent="0.3">
      <c r="L29" s="1"/>
      <c r="M29" s="1"/>
      <c r="N29" s="1"/>
      <c r="O29" s="1"/>
    </row>
    <row r="30" spans="12:15" x14ac:dyDescent="0.3">
      <c r="L30" s="1"/>
      <c r="M30" s="1"/>
      <c r="N30" s="1"/>
      <c r="O30" s="1"/>
    </row>
    <row r="31" spans="12:15" x14ac:dyDescent="0.3">
      <c r="L31" s="1"/>
      <c r="M31" s="1"/>
      <c r="N31" s="1"/>
      <c r="O31" s="1"/>
    </row>
    <row r="32" spans="12:15" x14ac:dyDescent="0.3">
      <c r="L32" s="1"/>
      <c r="M32" s="1"/>
      <c r="N32" s="1"/>
      <c r="O32" s="1"/>
    </row>
  </sheetData>
  <mergeCells count="11">
    <mergeCell ref="A2:A3"/>
    <mergeCell ref="B2:B3"/>
    <mergeCell ref="N2:O2"/>
    <mergeCell ref="L2:M2"/>
    <mergeCell ref="C2:C3"/>
    <mergeCell ref="G2:G3"/>
    <mergeCell ref="H2:H3"/>
    <mergeCell ref="I2:I3"/>
    <mergeCell ref="D2:D3"/>
    <mergeCell ref="E2:E3"/>
    <mergeCell ref="F2:F3"/>
  </mergeCells>
  <conditionalFormatting sqref="A1">
    <cfRule type="cellIs" dxfId="4" priority="1" operator="equal">
      <formula>"D"</formula>
    </cfRule>
    <cfRule type="cellIs" dxfId="3" priority="2" operator="equal">
      <formula>"C"</formula>
    </cfRule>
  </conditionalFormatting>
  <conditionalFormatting sqref="H4:H15">
    <cfRule type="cellIs" dxfId="2" priority="3" operator="equal">
      <formula>"Vermelho"</formula>
    </cfRule>
    <cfRule type="cellIs" dxfId="1" priority="4" operator="equal">
      <formula>"Amarelo"</formula>
    </cfRule>
    <cfRule type="cellIs" dxfId="0" priority="5" operator="equal">
      <formula>"Verde"</formula>
    </cfRule>
  </conditionalFormatting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parametros!$D$2:$D$4</xm:f>
          </x14:formula1>
          <xm:sqref>H4:H15</xm:sqref>
        </x14:dataValidation>
        <x14:dataValidation type="list" allowBlank="1" showInputMessage="1" showErrorMessage="1" xr:uid="{00000000-0002-0000-0100-000001000000}">
          <x14:formula1>
            <xm:f>parametros!$E$2:$E$7</xm:f>
          </x14:formula1>
          <xm:sqref>G4:G15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2"/>
  <sheetViews>
    <sheetView workbookViewId="0">
      <selection activeCell="D15" sqref="D15"/>
    </sheetView>
  </sheetViews>
  <sheetFormatPr defaultRowHeight="14.4" x14ac:dyDescent="0.3"/>
  <cols>
    <col min="1" max="1" width="2.88671875" customWidth="1"/>
    <col min="2" max="2" width="3" bestFit="1" customWidth="1"/>
    <col min="3" max="3" width="9.88671875" bestFit="1" customWidth="1"/>
    <col min="4" max="4" width="9.88671875" customWidth="1"/>
    <col min="5" max="5" width="10.44140625" customWidth="1"/>
    <col min="6" max="6" width="9.6640625" customWidth="1"/>
  </cols>
  <sheetData>
    <row r="1" spans="2:6" x14ac:dyDescent="0.3">
      <c r="C1" s="10" t="s">
        <v>65</v>
      </c>
      <c r="D1" s="10" t="s">
        <v>72</v>
      </c>
      <c r="E1" s="1" t="s">
        <v>65</v>
      </c>
      <c r="F1" s="1" t="s">
        <v>72</v>
      </c>
    </row>
    <row r="2" spans="2:6" x14ac:dyDescent="0.3">
      <c r="B2">
        <v>0</v>
      </c>
      <c r="C2" s="10">
        <v>120</v>
      </c>
      <c r="D2" s="10">
        <f>SUM(D3:D12)</f>
        <v>100</v>
      </c>
      <c r="E2" s="1">
        <f>C2</f>
        <v>120</v>
      </c>
      <c r="F2" s="1">
        <f>E2</f>
        <v>120</v>
      </c>
    </row>
    <row r="3" spans="2:6" x14ac:dyDescent="0.3">
      <c r="B3">
        <v>1</v>
      </c>
      <c r="C3" s="10">
        <v>12</v>
      </c>
      <c r="D3" s="10">
        <v>8</v>
      </c>
      <c r="E3" s="1">
        <f>IF(C3="","",E2-C3)</f>
        <v>108</v>
      </c>
      <c r="F3" s="1">
        <f>IF(D3="","",F2-D3)</f>
        <v>112</v>
      </c>
    </row>
    <row r="4" spans="2:6" x14ac:dyDescent="0.3">
      <c r="B4">
        <v>2</v>
      </c>
      <c r="C4" s="10">
        <v>32</v>
      </c>
      <c r="D4" s="10">
        <v>32</v>
      </c>
      <c r="E4" s="1">
        <f t="shared" ref="E4:E12" si="0">IF(C4="","",E3-C4)</f>
        <v>76</v>
      </c>
      <c r="F4" s="1">
        <f t="shared" ref="F4:F12" si="1">IF(D4="","",F3-D4)</f>
        <v>80</v>
      </c>
    </row>
    <row r="5" spans="2:6" x14ac:dyDescent="0.3">
      <c r="B5">
        <v>3</v>
      </c>
      <c r="C5" s="10">
        <v>16</v>
      </c>
      <c r="D5" s="10">
        <v>4</v>
      </c>
      <c r="E5" s="1">
        <f t="shared" si="0"/>
        <v>60</v>
      </c>
      <c r="F5" s="1">
        <f t="shared" si="1"/>
        <v>76</v>
      </c>
    </row>
    <row r="6" spans="2:6" x14ac:dyDescent="0.3">
      <c r="B6">
        <v>4</v>
      </c>
      <c r="C6" s="10">
        <v>8</v>
      </c>
      <c r="D6" s="10">
        <v>0</v>
      </c>
      <c r="E6" s="1">
        <f t="shared" si="0"/>
        <v>52</v>
      </c>
      <c r="F6" s="1">
        <f t="shared" si="1"/>
        <v>76</v>
      </c>
    </row>
    <row r="7" spans="2:6" x14ac:dyDescent="0.3">
      <c r="B7">
        <v>5</v>
      </c>
      <c r="C7" s="10">
        <v>4</v>
      </c>
      <c r="D7" s="10">
        <v>24</v>
      </c>
      <c r="E7" s="1">
        <f t="shared" si="0"/>
        <v>48</v>
      </c>
      <c r="F7" s="1">
        <f t="shared" si="1"/>
        <v>52</v>
      </c>
    </row>
    <row r="8" spans="2:6" x14ac:dyDescent="0.3">
      <c r="B8">
        <v>6</v>
      </c>
      <c r="C8" s="10">
        <v>16</v>
      </c>
      <c r="D8" s="10">
        <v>4</v>
      </c>
      <c r="E8" s="1">
        <f t="shared" si="0"/>
        <v>32</v>
      </c>
      <c r="F8" s="1">
        <f t="shared" si="1"/>
        <v>48</v>
      </c>
    </row>
    <row r="9" spans="2:6" x14ac:dyDescent="0.3">
      <c r="B9">
        <v>7</v>
      </c>
      <c r="C9" s="10">
        <v>8</v>
      </c>
      <c r="D9" s="10">
        <v>4</v>
      </c>
      <c r="E9" s="1">
        <f t="shared" si="0"/>
        <v>24</v>
      </c>
      <c r="F9" s="1">
        <f t="shared" si="1"/>
        <v>44</v>
      </c>
    </row>
    <row r="10" spans="2:6" x14ac:dyDescent="0.3">
      <c r="B10">
        <v>8</v>
      </c>
      <c r="C10" s="10">
        <v>8</v>
      </c>
      <c r="D10" s="10">
        <v>8</v>
      </c>
      <c r="E10" s="1">
        <f t="shared" si="0"/>
        <v>16</v>
      </c>
      <c r="F10" s="1">
        <f t="shared" si="1"/>
        <v>36</v>
      </c>
    </row>
    <row r="11" spans="2:6" x14ac:dyDescent="0.3">
      <c r="B11">
        <v>9</v>
      </c>
      <c r="C11" s="10">
        <v>8</v>
      </c>
      <c r="D11" s="10">
        <v>0</v>
      </c>
      <c r="E11" s="1">
        <f t="shared" si="0"/>
        <v>8</v>
      </c>
      <c r="F11" s="1">
        <f t="shared" si="1"/>
        <v>36</v>
      </c>
    </row>
    <row r="12" spans="2:6" x14ac:dyDescent="0.3">
      <c r="B12">
        <v>10</v>
      </c>
      <c r="C12" s="10">
        <v>8</v>
      </c>
      <c r="D12" s="10">
        <v>16</v>
      </c>
      <c r="E12" s="1">
        <f t="shared" si="0"/>
        <v>0</v>
      </c>
      <c r="F12" s="1">
        <f t="shared" si="1"/>
        <v>20</v>
      </c>
    </row>
    <row r="14" spans="2:6" x14ac:dyDescent="0.3">
      <c r="D14">
        <v>8</v>
      </c>
    </row>
    <row r="15" spans="2:6" x14ac:dyDescent="0.3">
      <c r="D15">
        <v>32</v>
      </c>
    </row>
    <row r="16" spans="2:6" x14ac:dyDescent="0.3">
      <c r="D16">
        <v>4</v>
      </c>
    </row>
    <row r="17" spans="4:4" x14ac:dyDescent="0.3">
      <c r="D17">
        <v>0</v>
      </c>
    </row>
    <row r="18" spans="4:4" x14ac:dyDescent="0.3">
      <c r="D18">
        <v>24</v>
      </c>
    </row>
    <row r="19" spans="4:4" x14ac:dyDescent="0.3">
      <c r="D19">
        <v>4</v>
      </c>
    </row>
    <row r="20" spans="4:4" x14ac:dyDescent="0.3">
      <c r="D20">
        <v>4</v>
      </c>
    </row>
    <row r="21" spans="4:4" x14ac:dyDescent="0.3">
      <c r="D21">
        <v>8</v>
      </c>
    </row>
    <row r="22" spans="4:4" x14ac:dyDescent="0.3">
      <c r="D22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G3" sqref="G3"/>
    </sheetView>
  </sheetViews>
  <sheetFormatPr defaultRowHeight="14.4" x14ac:dyDescent="0.3"/>
  <cols>
    <col min="1" max="1" width="13.5546875" bestFit="1" customWidth="1"/>
  </cols>
  <sheetData>
    <row r="1" spans="1:7" x14ac:dyDescent="0.3">
      <c r="A1" s="35" t="s">
        <v>3</v>
      </c>
      <c r="B1" s="35" t="s">
        <v>11</v>
      </c>
      <c r="C1" s="35"/>
      <c r="D1" s="35" t="s">
        <v>8</v>
      </c>
      <c r="E1" s="35" t="s">
        <v>7</v>
      </c>
      <c r="F1" s="35" t="s">
        <v>10</v>
      </c>
      <c r="G1" s="35" t="s">
        <v>73</v>
      </c>
    </row>
    <row r="2" spans="1:7" x14ac:dyDescent="0.3">
      <c r="A2" t="s">
        <v>74</v>
      </c>
      <c r="B2" t="s">
        <v>75</v>
      </c>
      <c r="C2" t="s">
        <v>76</v>
      </c>
      <c r="D2" t="s">
        <v>17</v>
      </c>
      <c r="E2" t="s">
        <v>77</v>
      </c>
      <c r="F2">
        <v>0</v>
      </c>
      <c r="G2">
        <v>8</v>
      </c>
    </row>
    <row r="3" spans="1:7" x14ac:dyDescent="0.3">
      <c r="A3" t="s">
        <v>78</v>
      </c>
      <c r="B3" t="s">
        <v>24</v>
      </c>
      <c r="C3" t="s">
        <v>79</v>
      </c>
      <c r="D3" t="s">
        <v>26</v>
      </c>
      <c r="E3" t="s">
        <v>25</v>
      </c>
      <c r="F3">
        <v>1</v>
      </c>
    </row>
    <row r="4" spans="1:7" x14ac:dyDescent="0.3">
      <c r="A4" t="s">
        <v>80</v>
      </c>
      <c r="B4" t="s">
        <v>15</v>
      </c>
      <c r="C4" t="s">
        <v>81</v>
      </c>
      <c r="D4" t="s">
        <v>33</v>
      </c>
      <c r="E4" t="s">
        <v>82</v>
      </c>
      <c r="F4">
        <v>2</v>
      </c>
    </row>
    <row r="5" spans="1:7" x14ac:dyDescent="0.3">
      <c r="A5" t="s">
        <v>83</v>
      </c>
      <c r="E5" t="s">
        <v>84</v>
      </c>
      <c r="F5">
        <v>3</v>
      </c>
    </row>
    <row r="6" spans="1:7" x14ac:dyDescent="0.3">
      <c r="A6" t="s">
        <v>85</v>
      </c>
      <c r="E6" t="s">
        <v>16</v>
      </c>
      <c r="F6">
        <v>4</v>
      </c>
    </row>
    <row r="7" spans="1:7" x14ac:dyDescent="0.3">
      <c r="E7" t="s">
        <v>86</v>
      </c>
      <c r="F7">
        <v>5</v>
      </c>
    </row>
    <row r="8" spans="1:7" x14ac:dyDescent="0.3">
      <c r="F8">
        <v>6</v>
      </c>
    </row>
    <row r="9" spans="1:7" x14ac:dyDescent="0.3">
      <c r="F9">
        <v>7</v>
      </c>
    </row>
    <row r="10" spans="1:7" x14ac:dyDescent="0.3">
      <c r="F10">
        <v>8</v>
      </c>
    </row>
    <row r="11" spans="1:7" x14ac:dyDescent="0.3">
      <c r="F11">
        <v>9</v>
      </c>
    </row>
    <row r="12" spans="1:7" x14ac:dyDescent="0.3">
      <c r="F12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BurndownChart Geral</vt:lpstr>
      <vt:lpstr>parametros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Leme</dc:creator>
  <cp:keywords/>
  <dc:description/>
  <cp:lastModifiedBy>Luiza Nanni</cp:lastModifiedBy>
  <cp:revision/>
  <dcterms:created xsi:type="dcterms:W3CDTF">2013-11-07T17:14:41Z</dcterms:created>
  <dcterms:modified xsi:type="dcterms:W3CDTF">2025-05-01T01:30:01Z</dcterms:modified>
  <cp:category/>
  <cp:contentStatus/>
</cp:coreProperties>
</file>